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Vendas_Xbox\"/>
    </mc:Choice>
  </mc:AlternateContent>
  <xr:revisionPtr revIDLastSave="0" documentId="13_ncr:1_{E2482726-6915-4283-ADB3-9B1F26D79BCD}" xr6:coauthVersionLast="47" xr6:coauthVersionMax="47" xr10:uidLastSave="{00000000-0000-0000-0000-000000000000}"/>
  <bookViews>
    <workbookView xWindow="20370" yWindow="-159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<sst xmlns="http://schemas.openxmlformats.org/spreadsheetml/2006/main" count="2021" uniqueCount="324">
  <si>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</si>
  <si>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</si>
  <si>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</si>
  <si>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</si>
  <si>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</si>
  <si>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</si>
  <si>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</si>
  <si>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</si>
  <si>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</si>
  <si>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</si>
  <si>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</si>
  <si>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</si>
  <si>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</si>
  <si>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</si>
  <si>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</si>
  <si>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</si>
  <si>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</si>
  <si>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</si>
  <si>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</si>
  <si>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</si>
  <si>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</si>
  <si>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</si>
  <si>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</si>
  <si>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</si>
  <si>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</si>
  <si>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</si>
  <si>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</si>
  <si>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</si>
  <si>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</si>
  <si>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</si>
  <si>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</si>
  <si>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</si>
  <si>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</si>
  <si>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</si>
  <si>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</si>
  <si>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</si>
  <si>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</si>
  <si>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</si>
  <si>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</si>
  <si>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</si>
  <si>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</si>
  <si>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</si>
  <si>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</si>
  <si>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</si>
  <si>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</si>
  <si>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</si>
  <si>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</si>
  <si>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</si>
  <si>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</si>
  <si>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</si>
  <si>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</si>
  <si>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</si>
  <si>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</si>
  <si>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</si>
  <si>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</si>
  <si>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</si>
  <si>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</si>
  <si>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</si>
  <si>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</si>
  <si>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</si>
  <si>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</si>
  <si>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</si>
  <si>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</si>
  <si>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</si>
  <si>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</si>
  <si>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</si>
  <si>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</si>
  <si>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</si>
  <si>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</si>
  <si>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</si>
  <si>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</si>
  <si>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</si>
  <si>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</si>
  <si>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</si>
  <si>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</si>
  <si>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</si>
  <si>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</si>
  <si>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</si>
  <si>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</si>
  <si>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</si>
  <si>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</si>
  <si>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</si>
  <si>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</si>
  <si>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</si>
  <si>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</si>
  <si>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</si>
  <si>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</si>
  <si>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</si>
  <si>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</si>
  <si>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</si>
  <si>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</si>
  <si>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</si>
  <si>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</si>
  <si>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</si>
  <si>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</si>
  <si>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</si>
  <si>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</si>
  <si>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</si>
  <si>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</si>
  <si>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</si>
  <si>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</si>
  <si>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</si>
  <si>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</si>
  <si>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</si>
  <si>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</si>
  <si>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</si>
  <si>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</si>
  <si>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</si>
  <si>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</si>
  <si>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</si>
  <si>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</si>
  <si>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</si>
  <si>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</si>
  <si>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</si>
  <si>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</si>
  <si>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</si>
  <si>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</si>
  <si>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</si>
  <si>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</si>
  <si>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</si>
  <si>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</si>
  <si>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</si>
  <si>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</si>
  <si>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</si>
  <si>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</si>
  <si>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</si>
  <si>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</si>
  <si>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</si>
  <si>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</si>
  <si>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</si>
  <si>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</si>
  <si>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</si>
  <si>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</si>
  <si>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</si>
  <si>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</si>
  <si>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</si>
  <si>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</si>
  <si>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</si>
  <si>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</si>
  <si>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</si>
  <si>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</si>
  <si>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</si>
  <si>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</si>
  <si>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</si>
  <si>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</si>
  <si>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</si>
  <si>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</si>
  <si>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</si>
  <si>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</si>
  <si>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</si>
  <si>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</si>
  <si>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</si>
  <si>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</si>
  <si>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</si>
  <si>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</si>
  <si>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</si>
  <si>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</si>
  <si>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</si>
  <si>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</si>
  <si>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</si>
  <si>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</si>
  <si>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</si>
  <si>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</si>
  <si>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</si>
  <si>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</si>
  <si>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</si>
  <si>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</si>
  <si>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</si>
  <si>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</si>
  <si>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</si>
  <si>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</si>
  <si>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</si>
  <si>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</si>
  <si>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</si>
  <si>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</si>
  <si>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</si>
  <si>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</si>
  <si>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</si>
  <si>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</si>
  <si>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</si>
  <si>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</si>
  <si>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</si>
  <si>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</si>
  <si>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</si>
  <si>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</si>
  <si>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</si>
  <si>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</si>
  <si>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</si>
  <si>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</si>
  <si>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</si>
  <si>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</si>
  <si>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</si>
  <si>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</si>
  <si>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</si>
  <si>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</si>
  <si>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</si>
  <si>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</si>
  <si>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</si>
  <si>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</si>
  <si>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</si>
  <si>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</si>
  <si>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</si>
  <si>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</si>
  <si>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</si>
  <si>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</si>
  <si>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</si>
  <si>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</si>
  <si>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</si>
  <si>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</si>
  <si>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</si>
  <si>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</si>
  <si>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</si>
  <si>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</si>
  <si>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</si>
  <si>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</si>
  <si>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</si>
  <si>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</si>
  <si>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</si>
  <si>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</si>
  <si>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</si>
  <si>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</si>
  <si>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</si>
  <si>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</si>
  <si>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</si>
  <si>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</si>
  <si>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</si>
  <si>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</si>
  <si>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</si>
  <si>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</si>
  <si>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</si>
  <si>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</si>
  <si>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</si>
  <si>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</si>
  <si>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</si>
  <si>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</si>
  <si>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</si>
  <si>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</si>
  <si>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</si>
  <si>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</si>
  <si>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</si>
  <si>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</si>
  <si>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</si>
  <si>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</si>
  <si>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</si>
  <si>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</si>
  <si>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</si>
  <si>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</si>
  <si>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</si>
  <si>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</si>
  <si>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</si>
  <si>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</si>
  <si>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</si>
  <si>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</si>
  <si>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</si>
  <si>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</si>
  <si>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</si>
  <si>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</si>
  <si>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</si>
  <si>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</si>
  <si>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</si>
  <si>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</si>
  <si>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</si>
  <si>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</si>
  <si>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</si>
  <si>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</si>
  <si>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</si>
  <si>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</si>
  <si>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</si>
  <si>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</si>
  <si>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</si>
  <si>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</si>
  <si>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</si>
  <si>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</si>
  <si>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</si>
  <si>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</si>
  <si>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</si>
  <si>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</si>
  <si>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</si>
  <si>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</si>
  <si>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</si>
  <si>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</si>
  <si>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</si>
  <si>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</si>
  <si>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</si>
  <si>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</si>
  <si>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</si>
  <si>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</si>
  <si>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</si>
  <si>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</si>
  <si>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</si>
  <si>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</si>
  <si>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</si>
  <si>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</si>
  <si>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</si>
  <si>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</si>
  <si>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</si>
  <si>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</si>
  <si>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</si>
  <si>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</si>
  <si>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</si>
  <si>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</si>
  <si>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</si>
  <si>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</si>
  <si>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</si>
  <si>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</si>
  <si>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</si>
  <si>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</si>
  <si>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</si>
  <si>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</si>
  <si>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</si>
  <si>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</si>
  <si>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</si>
  <si>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</si>
  <si>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1 - Qual faturamento Total de vendas de planos anuais (contendo todas as assinaturas agregadas)</t>
  </si>
  <si>
    <t>Rótulos de Linha</t>
  </si>
  <si>
    <t>Total Geral</t>
  </si>
  <si>
    <t>Soma de Total Value</t>
  </si>
  <si>
    <t>Pergunta de Negócio 2 - Qual faturamento Total de vendas de planos anuais, separado por auto renovação e por não auto renovação</t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</si>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</sst>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4" fillId="0" borderId="2" xfId="1" applyFont="1" applyBorder="1"/>
    <xf numFmtId="0" fontId="0" fillId="0" borderId="2" xfId="0" applyBorder="1"/>
    <xf numFmtId="0" fontId="4" fillId="0" borderId="2" xfId="1" applyFont="1" applyBorder="1" applyAlignment="1">
      <alignment horizontal="left" indent="10"/>
    </xf>
  </cellXfs>
  <cellStyles count="3">
    <cellStyle name="Moeda" xfId="2" builtinId="4"/>
    <cellStyle name="Normal" xfId="0" builtinId="0"/>
    <cellStyle name="Título 1" xfId="1" builtinId="16"/>
  </cellStyles>
  <dxfs count="50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48E50FE2-B119-4D02-86B5-AB9F91AACCC6}">
      <tableStyleElement type="wholeTable" dxfId="49"/>
      <tableStyleElement type="headerRow" dxfId="48"/>
    </tableStyle>
  </tableStyles>
  <colors>
    <mruColors>
      <color rgb="FF2AE6B1"/>
      <color rgb="FF22C55E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3-4DA0-9F13-EF3AA6A94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9817360"/>
        <c:axId val="1969830800"/>
      </c:barChart>
      <c:catAx>
        <c:axId val="196981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9830800"/>
        <c:crosses val="autoZero"/>
        <c:auto val="1"/>
        <c:lblAlgn val="ctr"/>
        <c:lblOffset val="100"/>
        <c:noMultiLvlLbl val="0"/>
      </c:catAx>
      <c:valAx>
        <c:axId val="196983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98173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7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7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2190747</xdr:colOff>
      <xdr:row>0</xdr:row>
      <xdr:rowOff>0</xdr:rowOff>
    </xdr:from>
    <xdr:to>
      <xdr:col>2</xdr:col>
      <xdr:colOff>452435</xdr:colOff>
      <xdr:row>2</xdr:row>
      <xdr:rowOff>331660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14EE0F-60FC-4CC3-8959-5AA05B7610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2360"/>
        <a:stretch>
          <a:fillRect/>
        </a:stretch>
      </xdr:blipFill>
      <xdr:spPr>
        <a:xfrm>
          <a:off x="2190747" y="0"/>
          <a:ext cx="797719" cy="1022223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166689</xdr:colOff>
      <xdr:row>4</xdr:row>
      <xdr:rowOff>83344</xdr:rowOff>
    </xdr:from>
    <xdr:to>
      <xdr:col>0</xdr:col>
      <xdr:colOff>1995489</xdr:colOff>
      <xdr:row>18</xdr:row>
      <xdr:rowOff>83344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95FC24C-4BB0-48C6-87E9-11028E9A4D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689" y="13811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35721</xdr:colOff>
      <xdr:row>5</xdr:row>
      <xdr:rowOff>5358</xdr:rowOff>
    </xdr:from>
    <xdr:to>
      <xdr:col>11</xdr:col>
      <xdr:colOff>2</xdr:colOff>
      <xdr:row>14</xdr:row>
      <xdr:rowOff>31553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8C68AE76-6DC4-4643-DDCE-98D044E575F0}"/>
            </a:ext>
          </a:extLst>
        </xdr:cNvPr>
        <xdr:cNvGrpSpPr/>
      </xdr:nvGrpSpPr>
      <xdr:grpSpPr>
        <a:xfrm>
          <a:off x="2569371" y="1386483"/>
          <a:ext cx="5450681" cy="1845470"/>
          <a:chOff x="2416970" y="1357311"/>
          <a:chExt cx="5429250" cy="1835945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8629E81A-2591-BC5F-FE10-647F976F22CC}"/>
              </a:ext>
            </a:extLst>
          </xdr:cNvPr>
          <xdr:cNvSpPr/>
        </xdr:nvSpPr>
        <xdr:spPr>
          <a:xfrm>
            <a:off x="2416970" y="1357311"/>
            <a:ext cx="5429250" cy="1785939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92398204-838B-4B3D-8455-38C34C20D069}"/>
              </a:ext>
            </a:extLst>
          </xdr:cNvPr>
          <xdr:cNvSpPr/>
        </xdr:nvSpPr>
        <xdr:spPr>
          <a:xfrm>
            <a:off x="3509963" y="2058590"/>
            <a:ext cx="3800472" cy="1050132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E50CBF1-3284-4F23-B33D-AF312BE6F7A8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18867BC7-437D-4A0A-AC58-928BD917AF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38463" y="1974056"/>
            <a:ext cx="1219200" cy="1219200"/>
          </a:xfrm>
          <a:prstGeom prst="rect">
            <a:avLst/>
          </a:prstGeom>
        </xdr:spPr>
      </xdr:pic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C0FCE384-7247-58B5-175D-30AE8B820D1F}"/>
              </a:ext>
            </a:extLst>
          </xdr:cNvPr>
          <xdr:cNvSpPr/>
        </xdr:nvSpPr>
        <xdr:spPr>
          <a:xfrm>
            <a:off x="2964657" y="1524000"/>
            <a:ext cx="4345781" cy="66675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285750</xdr:colOff>
      <xdr:row>4</xdr:row>
      <xdr:rowOff>71438</xdr:rowOff>
    </xdr:from>
    <xdr:to>
      <xdr:col>20</xdr:col>
      <xdr:colOff>416719</xdr:colOff>
      <xdr:row>14</xdr:row>
      <xdr:rowOff>60723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DBE94868-AA78-6C25-EEA6-FF9F72DED7CA}"/>
            </a:ext>
          </a:extLst>
        </xdr:cNvPr>
        <xdr:cNvGrpSpPr/>
      </xdr:nvGrpSpPr>
      <xdr:grpSpPr>
        <a:xfrm>
          <a:off x="8305800" y="1357313"/>
          <a:ext cx="5445919" cy="1903810"/>
          <a:chOff x="8346281" y="1285875"/>
          <a:chExt cx="5429250" cy="189428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87D23962-1B72-4C4A-8186-2D43718D5296}"/>
              </a:ext>
            </a:extLst>
          </xdr:cNvPr>
          <xdr:cNvGrpSpPr/>
        </xdr:nvGrpSpPr>
        <xdr:grpSpPr>
          <a:xfrm>
            <a:off x="8346281" y="1285875"/>
            <a:ext cx="5429250" cy="1894285"/>
            <a:chOff x="2297907" y="1333498"/>
            <a:chExt cx="5429250" cy="1894285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955E7853-F39D-C97A-E997-0387F2EC62E0}"/>
                </a:ext>
              </a:extLst>
            </xdr:cNvPr>
            <xdr:cNvSpPr/>
          </xdr:nvSpPr>
          <xdr:spPr>
            <a:xfrm>
              <a:off x="2297907" y="1333498"/>
              <a:ext cx="5429250" cy="1785939"/>
            </a:xfrm>
            <a:prstGeom prst="roundRect">
              <a:avLst>
                <a:gd name="adj" fmla="val 5000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64819211-34DC-9A67-EC43-571FB9106999}"/>
                </a:ext>
              </a:extLst>
            </xdr:cNvPr>
            <xdr:cNvSpPr/>
          </xdr:nvSpPr>
          <xdr:spPr>
            <a:xfrm>
              <a:off x="3855244" y="2177651"/>
              <a:ext cx="3800472" cy="1050132"/>
            </a:xfrm>
            <a:prstGeom prst="roundRect">
              <a:avLst>
                <a:gd name="adj" fmla="val 50000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CFE1B2E-644F-498B-BF3D-090712B875C5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CDDD542B-CFBA-F95C-38DC-151D9A9741A7}"/>
                </a:ext>
              </a:extLst>
            </xdr:cNvPr>
            <xdr:cNvSpPr/>
          </xdr:nvSpPr>
          <xdr:spPr>
            <a:xfrm>
              <a:off x="2845594" y="1500187"/>
              <a:ext cx="4345781" cy="666750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BC30F298-0881-466E-89D9-B54C1C68019F}"/>
              </a:ext>
            </a:extLst>
          </xdr:cNvPr>
          <xdr:cNvGrpSpPr/>
        </xdr:nvGrpSpPr>
        <xdr:grpSpPr>
          <a:xfrm>
            <a:off x="9072562" y="2214561"/>
            <a:ext cx="1466133" cy="657227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B079C7CB-485E-29D8-EF16-A945342E8A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C2CDE1BE-A370-A22C-3833-592A539B7D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71438</xdr:colOff>
      <xdr:row>14</xdr:row>
      <xdr:rowOff>166687</xdr:rowOff>
    </xdr:from>
    <xdr:to>
      <xdr:col>20</xdr:col>
      <xdr:colOff>523875</xdr:colOff>
      <xdr:row>34</xdr:row>
      <xdr:rowOff>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FD8741F1-BB13-CCE4-1454-2F6C63FF7E71}"/>
            </a:ext>
          </a:extLst>
        </xdr:cNvPr>
        <xdr:cNvGrpSpPr/>
      </xdr:nvGrpSpPr>
      <xdr:grpSpPr>
        <a:xfrm>
          <a:off x="2366963" y="3367087"/>
          <a:ext cx="11491912" cy="3643313"/>
          <a:chOff x="2369344" y="3369468"/>
          <a:chExt cx="11453812" cy="3643313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83F60733-FF4E-D6CD-BC07-DF912248986D}"/>
              </a:ext>
            </a:extLst>
          </xdr:cNvPr>
          <xdr:cNvGrpSpPr/>
        </xdr:nvGrpSpPr>
        <xdr:grpSpPr>
          <a:xfrm>
            <a:off x="2369344" y="3369468"/>
            <a:ext cx="11453812" cy="3643313"/>
            <a:chOff x="2762250" y="1393031"/>
            <a:chExt cx="4786312" cy="3643313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64BDF67B-C103-0682-D74D-32C11F3FAB62}"/>
                </a:ext>
              </a:extLst>
            </xdr:cNvPr>
            <xdr:cNvSpPr/>
          </xdr:nvSpPr>
          <xdr:spPr>
            <a:xfrm>
              <a:off x="2762250" y="1393031"/>
              <a:ext cx="4786312" cy="2893219"/>
            </a:xfrm>
            <a:prstGeom prst="roundRect">
              <a:avLst>
                <a:gd name="adj" fmla="val 1995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F4D52E7-B9E9-4273-B96D-62CD618C96F1}"/>
                </a:ext>
              </a:extLst>
            </xdr:cNvPr>
            <xdr:cNvGraphicFramePr>
              <a:graphicFrameLocks/>
            </xdr:cNvGraphicFramePr>
          </xdr:nvGraphicFramePr>
          <xdr:xfrm>
            <a:off x="2850357" y="1671638"/>
            <a:ext cx="4571999" cy="336470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3233DB38-52EA-46BB-8F38-44C7E2AB8244}"/>
              </a:ext>
            </a:extLst>
          </xdr:cNvPr>
          <xdr:cNvSpPr/>
        </xdr:nvSpPr>
        <xdr:spPr>
          <a:xfrm>
            <a:off x="2369344" y="3369468"/>
            <a:ext cx="11430000" cy="500063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297656</xdr:colOff>
      <xdr:row>0</xdr:row>
      <xdr:rowOff>142874</xdr:rowOff>
    </xdr:from>
    <xdr:to>
      <xdr:col>0</xdr:col>
      <xdr:colOff>992981</xdr:colOff>
      <xdr:row>2</xdr:row>
      <xdr:rowOff>147636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86EE4BDD-BC77-49F1-B7C6-0CA64B3D2605}"/>
            </a:ext>
          </a:extLst>
        </xdr:cNvPr>
        <xdr:cNvSpPr/>
      </xdr:nvSpPr>
      <xdr:spPr>
        <a:xfrm>
          <a:off x="297656" y="142874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287656</xdr:colOff>
      <xdr:row>2</xdr:row>
      <xdr:rowOff>214311</xdr:rowOff>
    </xdr:from>
    <xdr:to>
      <xdr:col>0</xdr:col>
      <xdr:colOff>1928812</xdr:colOff>
      <xdr:row>3</xdr:row>
      <xdr:rowOff>47624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CDF4C821-CBDE-D818-EC23-BDBD4DC952C9}"/>
            </a:ext>
          </a:extLst>
        </xdr:cNvPr>
        <xdr:cNvSpPr/>
      </xdr:nvSpPr>
      <xdr:spPr>
        <a:xfrm>
          <a:off x="287656" y="904874"/>
          <a:ext cx="1641156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/>
            <a:t>&gt; bem vinda</a:t>
          </a:r>
          <a:r>
            <a:rPr lang="pt-BR" sz="1400" b="1" baseline="0"/>
            <a:t>, Maria</a:t>
          </a:r>
        </a:p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ibeiro" refreshedDate="46094.585449421298" createdVersion="8" refreshedVersion="8" minRefreshableVersion="3" recordCount="296" xr:uid="{7F7041D2-F65C-4903-A165-3A734BCB806F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348138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  <r>
    <m/>
    <x v="280"/>
    <x v="3"/>
    <m/>
    <x v="2"/>
    <m/>
    <x v="3"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E2D58-E783-4E8F-87EF-5CCCE6DC0611}" name="tbl_easeasonpass_total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x="0"/>
        <item h="1" x="2"/>
        <item h="1" x="3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29">
      <pivotArea outline="0" collapsedLevelsAreSubtotals="1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E2BA2-4043-4180-9AE2-6F75002C99E4}" name="tbl_annual_total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axis="axisPage" multipleItemSelectionAllowed="1" showAll="0">
      <items count="5">
        <item h="1" x="1"/>
        <item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2">
    <format dxfId="31">
      <pivotArea outline="0" collapsedLevelsAreSubtotals="1" fieldPosition="0"/>
    </format>
    <format dxfId="30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2DC28-8AF1-42A0-B8D0-1C7ECE58A70C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2">
    <format dxfId="33">
      <pivotArea outline="0" collapsedLevelsAreSubtotals="1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EE684F8-4D7C-4B56-AB09-E53FD8782CE2}" sourceName="Subscription Type">
  <pivotTables>
    <pivotTable tabId="3" name="tbl_annual_total"/>
    <pivotTable tabId="3" name="tbl_easeasonpass_total"/>
  </pivotTables>
  <data>
    <tabular pivotCacheId="634813828">
      <items count="4">
        <i x="1"/>
        <i x="0" s="1"/>
        <i x="2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7D46D4E-3F31-479E-960E-53B7A218C14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7">
  <autoFilter ref="A1:M296" xr:uid="{34E0E886-4200-4B36-97B3-63DB74FF40A0}">
    <filterColumn colId="10">
      <filters>
        <filter val="R$ 20,00"/>
      </filters>
    </filterColumn>
  </autoFilter>
  <tableColumns count="13">
    <tableColumn id="1" xr3:uid="{C4A90516-688A-46BF-9167-EA16C2A8A652}" name="Subscriber ID" dataDxfId="46"/>
    <tableColumn id="2" xr3:uid="{53DD39D0-2220-4121-9E9D-4EAA7E151C0F}" name="Name" dataDxfId="45"/>
    <tableColumn id="3" xr3:uid="{4F5FF271-4C57-4BE0-8F2C-F82C8551625C}" name="Plan" dataDxfId="44"/>
    <tableColumn id="4" xr3:uid="{8C17EB93-79B9-4E55-B8F7-BEB82F8253E9}" name="Start Date" dataDxfId="43"/>
    <tableColumn id="5" xr3:uid="{48CEDF9B-1689-482A-A828-5CCE7713264A}" name="Auto Renewal" dataDxfId="42"/>
    <tableColumn id="6" xr3:uid="{78B82374-9AA7-4E38-AE4F-78CDE6C83720}" name="Subscription Price" dataDxfId="41" dataCellStyle="Moeda"/>
    <tableColumn id="7" xr3:uid="{F2433F68-AF33-49D0-B1FB-19A396074EDE}" name="Subscription Type" dataDxfId="40"/>
    <tableColumn id="8" xr3:uid="{FD4D9C95-F6E5-4933-9068-A71FF7DF9343}" name="EA Play Season Pass" dataDxfId="39"/>
    <tableColumn id="13" xr3:uid="{978DD0D2-834E-4CE4-A39B-30976086932F}" name="EA Play Season Pass_x000a_Price" dataDxfId="38" dataCellStyle="Moeda"/>
    <tableColumn id="9" xr3:uid="{6E29F111-C395-4580-9DAD-3407D9E8B1A4}" name="Minecraft Season Pass" dataDxfId="37"/>
    <tableColumn id="10" xr3:uid="{EF544EAA-7F25-4FD5-A10E-8E62804DB9E3}" name="Minecraft Season Pass Price" dataDxfId="36" dataCellStyle="Moeda"/>
    <tableColumn id="11" xr3:uid="{7F6EB64A-1F07-4E48-9F0F-AC7D9DCD26F8}" name="Coupon Value" dataDxfId="35" dataCellStyle="Moeda"/>
    <tableColumn id="12" xr3:uid="{2B04ABC8-DE6F-426E-ADC0-D8AFC68CA58E}" name="Total Value" dataDxfId="3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54" zoomScale="90" zoomScaleNormal="90" workbookViewId="0">
      <selection activeCell="B7" sqref="B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E37"/>
  <sheetViews>
    <sheetView showGridLines="0" topLeftCell="A23" workbookViewId="0">
      <selection activeCell="B7" sqref="B7"/>
    </sheetView>
  </sheetViews>
  <sheetFormatPr defaultRowHeight="15" x14ac:dyDescent="0.25"/>
  <cols>
    <col min="2" max="2" width="18.85546875" bestFit="1" customWidth="1"/>
    <col min="3" max="3" width="35.140625" bestFit="1" customWidth="1"/>
    <col min="4" max="4" width="30.5703125" bestFit="1" customWidth="1"/>
    <col min="5" max="5" width="12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t="s">
        <v>313</v>
      </c>
    </row>
    <row r="7" spans="2:3" x14ac:dyDescent="0.25">
      <c r="B7" t="s">
        <v>317</v>
      </c>
    </row>
    <row r="9" spans="2:3" x14ac:dyDescent="0.25">
      <c r="B9" s="12" t="s">
        <v>16</v>
      </c>
      <c r="C9" t="s">
        <v>20</v>
      </c>
    </row>
    <row r="11" spans="2:3" x14ac:dyDescent="0.25">
      <c r="B11" s="12" t="s">
        <v>314</v>
      </c>
      <c r="C11" s="14" t="s">
        <v>316</v>
      </c>
    </row>
    <row r="12" spans="2:3" x14ac:dyDescent="0.25">
      <c r="B12" s="13" t="s">
        <v>23</v>
      </c>
      <c r="C12" s="14">
        <v>2824</v>
      </c>
    </row>
    <row r="13" spans="2:3" x14ac:dyDescent="0.25">
      <c r="B13" s="13" t="s">
        <v>19</v>
      </c>
      <c r="C13" s="14">
        <v>747</v>
      </c>
    </row>
    <row r="14" spans="2:3" x14ac:dyDescent="0.25">
      <c r="B14" s="13" t="s">
        <v>315</v>
      </c>
      <c r="C14" s="14">
        <v>3571</v>
      </c>
    </row>
    <row r="17" spans="2:5" x14ac:dyDescent="0.25">
      <c r="B17" s="13" t="s">
        <v>319</v>
      </c>
    </row>
    <row r="19" spans="2:5" x14ac:dyDescent="0.25">
      <c r="B19" s="12" t="s">
        <v>16</v>
      </c>
      <c r="C19" t="s">
        <v>20</v>
      </c>
    </row>
    <row r="21" spans="2:5" x14ac:dyDescent="0.25">
      <c r="B21" s="12" t="s">
        <v>314</v>
      </c>
      <c r="C21" s="14" t="s">
        <v>320</v>
      </c>
    </row>
    <row r="22" spans="2:5" x14ac:dyDescent="0.25">
      <c r="B22" s="13" t="s">
        <v>22</v>
      </c>
      <c r="C22" s="14">
        <v>0</v>
      </c>
    </row>
    <row r="23" spans="2:5" x14ac:dyDescent="0.25">
      <c r="B23" s="13" t="s">
        <v>26</v>
      </c>
      <c r="C23" s="14">
        <v>0</v>
      </c>
    </row>
    <row r="24" spans="2:5" x14ac:dyDescent="0.25">
      <c r="B24" s="13" t="s">
        <v>18</v>
      </c>
      <c r="C24" s="14">
        <v>1350</v>
      </c>
    </row>
    <row r="25" spans="2:5" x14ac:dyDescent="0.25">
      <c r="B25" s="13" t="s">
        <v>315</v>
      </c>
      <c r="C25" s="14">
        <v>1350</v>
      </c>
      <c r="E25" s="15">
        <f>GETPIVOTDATA("EA Play Season Pass
Price",$B$21)</f>
        <v>1350</v>
      </c>
    </row>
    <row r="28" spans="2:5" x14ac:dyDescent="0.25">
      <c r="B28" s="13" t="s">
        <v>321</v>
      </c>
    </row>
    <row r="30" spans="2:5" x14ac:dyDescent="0.25">
      <c r="B30" s="12" t="s">
        <v>16</v>
      </c>
      <c r="C30" t="s">
        <v>323</v>
      </c>
    </row>
    <row r="32" spans="2:5" x14ac:dyDescent="0.25">
      <c r="B32" s="12" t="s">
        <v>314</v>
      </c>
      <c r="C32" s="14" t="s">
        <v>322</v>
      </c>
    </row>
    <row r="33" spans="2:5" x14ac:dyDescent="0.25">
      <c r="B33" s="13" t="s">
        <v>22</v>
      </c>
      <c r="C33" s="14">
        <v>0</v>
      </c>
    </row>
    <row r="34" spans="2:5" x14ac:dyDescent="0.25">
      <c r="B34" s="13" t="s">
        <v>26</v>
      </c>
      <c r="C34" s="14">
        <v>1920</v>
      </c>
    </row>
    <row r="35" spans="2:5" x14ac:dyDescent="0.25">
      <c r="B35" s="13" t="s">
        <v>18</v>
      </c>
      <c r="C35" s="14">
        <v>1960</v>
      </c>
    </row>
    <row r="36" spans="2:5" x14ac:dyDescent="0.25">
      <c r="B36" s="13" t="s">
        <v>315</v>
      </c>
      <c r="C36" s="14">
        <v>3880</v>
      </c>
      <c r="E36" s="15">
        <f>GETPIVOTDATA("Minecraft Season Pass Price",$B$32)</f>
        <v>3880</v>
      </c>
    </row>
    <row r="37" spans="2:5" x14ac:dyDescent="0.25">
      <c r="E37" s="15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U8"/>
  <sheetViews>
    <sheetView showGridLines="0" showRowColHeaders="0" tabSelected="1" zoomScaleNormal="100" workbookViewId="0">
      <selection activeCell="AB46" sqref="AB46"/>
    </sheetView>
  </sheetViews>
  <sheetFormatPr defaultRowHeight="15" x14ac:dyDescent="0.25"/>
  <cols>
    <col min="1" max="1" width="34.42578125" style="5" customWidth="1"/>
    <col min="2" max="2" width="3.5703125" style="7" customWidth="1"/>
    <col min="3" max="11" width="9.140625" style="7"/>
    <col min="12" max="12" width="6.5703125" style="7" customWidth="1"/>
    <col min="13" max="16384" width="9.140625" style="7"/>
  </cols>
  <sheetData>
    <row r="1" spans="1:21" customFormat="1" x14ac:dyDescent="0.25">
      <c r="A1" s="5"/>
    </row>
    <row r="2" spans="1:21" customFormat="1" ht="39" customHeight="1" thickBot="1" x14ac:dyDescent="0.5">
      <c r="A2" s="5"/>
      <c r="B2" s="18" t="s">
        <v>318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  <c r="S2" s="17"/>
      <c r="T2" s="17"/>
      <c r="U2" s="17"/>
    </row>
    <row r="3" spans="1:21" customFormat="1" ht="39" customHeight="1" thickTop="1" x14ac:dyDescent="0.25">
      <c r="A3" s="5"/>
    </row>
    <row r="4" spans="1:21" ht="8.25" customHeight="1" x14ac:dyDescent="0.25"/>
    <row r="5" spans="1:21" ht="7.5" customHeight="1" x14ac:dyDescent="0.25"/>
    <row r="6" spans="1:21" ht="10.5" customHeight="1" x14ac:dyDescent="0.25"/>
    <row r="7" spans="1:21" ht="9.75" customHeight="1" x14ac:dyDescent="0.25"/>
    <row r="8" spans="1:21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Anderson Ribeiro</cp:lastModifiedBy>
  <dcterms:created xsi:type="dcterms:W3CDTF">2024-12-19T13:13:10Z</dcterms:created>
  <dcterms:modified xsi:type="dcterms:W3CDTF">2026-03-15T01:34:12Z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